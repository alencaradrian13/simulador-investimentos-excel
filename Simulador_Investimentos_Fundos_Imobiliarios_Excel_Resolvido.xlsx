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8_{937EAA3B-47BA-0744-8B47-4DBBD04EA59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imulador de Investimentos" sheetId="1" r:id="rId1"/>
    <sheet name="Tipos de FIIs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E12" i="1"/>
  <c r="F12" i="1"/>
  <c r="C13" i="1"/>
  <c r="E13" i="1"/>
  <c r="F13" i="1"/>
  <c r="C14" i="1"/>
  <c r="E14" i="1"/>
  <c r="F14" i="1"/>
  <c r="C15" i="1"/>
  <c r="E15" i="1"/>
  <c r="F15" i="1"/>
  <c r="C16" i="1"/>
  <c r="E16" i="1"/>
  <c r="F16" i="1"/>
  <c r="C17" i="1"/>
  <c r="E17" i="1"/>
  <c r="F17" i="1"/>
  <c r="C18" i="1"/>
  <c r="E18" i="1"/>
  <c r="F18" i="1"/>
  <c r="C19" i="1"/>
  <c r="E19" i="1"/>
  <c r="F19" i="1"/>
  <c r="C20" i="1"/>
  <c r="E20" i="1"/>
  <c r="F20" i="1"/>
  <c r="C21" i="1"/>
  <c r="E21" i="1"/>
  <c r="F21" i="1"/>
  <c r="C22" i="1"/>
  <c r="E22" i="1"/>
  <c r="F22" i="1"/>
  <c r="C23" i="1"/>
  <c r="E23" i="1"/>
  <c r="F23" i="1"/>
  <c r="C24" i="1"/>
  <c r="E24" i="1"/>
  <c r="F24" i="1"/>
  <c r="C25" i="1"/>
  <c r="E25" i="1"/>
  <c r="F25" i="1"/>
  <c r="C26" i="1"/>
  <c r="E26" i="1"/>
  <c r="F26" i="1"/>
  <c r="C27" i="1"/>
  <c r="E27" i="1"/>
  <c r="F27" i="1"/>
  <c r="C28" i="1"/>
  <c r="E28" i="1"/>
  <c r="F28" i="1"/>
  <c r="C29" i="1"/>
  <c r="E29" i="1"/>
  <c r="F29" i="1"/>
  <c r="C30" i="1"/>
  <c r="E30" i="1"/>
  <c r="F30" i="1"/>
  <c r="C31" i="1"/>
  <c r="E31" i="1"/>
  <c r="F31" i="1"/>
  <c r="C32" i="1"/>
  <c r="E32" i="1"/>
  <c r="F32" i="1"/>
  <c r="C33" i="1"/>
  <c r="E33" i="1"/>
  <c r="F33" i="1"/>
  <c r="C34" i="1"/>
  <c r="E34" i="1"/>
  <c r="F34" i="1"/>
  <c r="C35" i="1"/>
  <c r="E35" i="1"/>
  <c r="F35" i="1"/>
  <c r="F36" i="1"/>
  <c r="E36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C36" i="1"/>
</calcChain>
</file>

<file path=xl/sharedStrings.xml><?xml version="1.0" encoding="utf-8"?>
<sst xmlns="http://schemas.openxmlformats.org/spreadsheetml/2006/main" count="40" uniqueCount="39">
  <si>
    <t>📊 SIMULADOR DE CONTROL E INVESTIMENTOS EM FIIs</t>
  </si>
  <si>
    <t>Ferramenta de Planejamento de Aportes, Dividendos e Patrimônio Acumulado</t>
  </si>
  <si>
    <t>PARÂMETROS DE SIMULAÇÃO</t>
  </si>
  <si>
    <t>Aporte Inicial (R$):</t>
  </si>
  <si>
    <t>Aporte Mensal (R$):</t>
  </si>
  <si>
    <t>Dividend Yield Mensal Estimado (%):</t>
  </si>
  <si>
    <t>Período de Simulação (Meses):</t>
  </si>
  <si>
    <t>Mês</t>
  </si>
  <si>
    <t>Aporte do Mês</t>
  </si>
  <si>
    <t>Total Investido (Aportes)</t>
  </si>
  <si>
    <t>Rendimento do Mês (Dividendos)</t>
  </si>
  <si>
    <t>Patrimônio Total</t>
  </si>
  <si>
    <t>TOTAL</t>
  </si>
  <si>
    <t>🏢 TIPOS DE FUNDOS IMOBILIÁRIOS (FIIs)</t>
  </si>
  <si>
    <t>Resumo dos Principais Segmentos do Mercado Imobiliário</t>
  </si>
  <si>
    <t>Segmento</t>
  </si>
  <si>
    <t>Descrição</t>
  </si>
  <si>
    <t>Exemplos de Ativos</t>
  </si>
  <si>
    <t>Risco Estimado</t>
  </si>
  <si>
    <t>DY Médio Estimado</t>
  </si>
  <si>
    <t>FIFI - Logística</t>
  </si>
  <si>
    <t>Investimento em galpões logísticos e centros de distribuição.</t>
  </si>
  <si>
    <t>HGLG11, BTLG11</t>
  </si>
  <si>
    <t>Baixo / Médio</t>
  </si>
  <si>
    <t>FIFI - Tijolo (Shopping / Varejo)</t>
  </si>
  <si>
    <t>Investimento em shoppings centers e imóveis comerciais de varejo.</t>
  </si>
  <si>
    <t>XPML11, VISC11</t>
  </si>
  <si>
    <t>Médio</t>
  </si>
  <si>
    <t>FIFI - Papel (CRIs)</t>
  </si>
  <si>
    <t>Investimento em títulos de dívida imobiliária (CRIs, LCI).</t>
  </si>
  <si>
    <t>KNCR11, MXRF11</t>
  </si>
  <si>
    <t>Médio / Alto</t>
  </si>
  <si>
    <t>FIFI - Lajes Corporativas</t>
  </si>
  <si>
    <t>Investimento em edifícios de escritórios e lajes corporativas.</t>
  </si>
  <si>
    <t>HGRE11, PVBI11</t>
  </si>
  <si>
    <t>FoFs (Fundos de Fundos)</t>
  </si>
  <si>
    <t>Fundos que compram cotas de outros fundos imobiliários.</t>
  </si>
  <si>
    <t>HFCF11, BCFF11</t>
  </si>
  <si>
    <t>Baixo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</si>
</sst>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6" x14ac:knownFonts="1">
    <font>
      <sz val="11"/>
      <color theme="1"/>
      <name val="Calibri"/>
      <family val="2"/>
      <scheme val="minor"/>
    </font>
    <font>
      <b/>
      <sz val="16"/>
      <color rgb="FF1B365D"/>
      <name val="Calibri"/>
    </font>
    <font>
      <i/>
      <sz val="11"/>
      <color rgb="FF555555"/>
      <name val="Calibri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A6496"/>
        <bgColor rgb="FF2A6496"/>
      </patternFill>
    </fill>
    <fill>
      <patternFill patternType="solid">
        <fgColor rgb="FFF4F6F9"/>
        <bgColor rgb="FFF4F6F9"/>
      </patternFill>
    </fill>
    <fill>
      <patternFill patternType="solid">
        <fgColor rgb="FF1B365D"/>
        <bgColor rgb="FF1B365D"/>
      </patternFill>
    </fill>
    <fill>
      <patternFill patternType="solid">
        <fgColor rgb="FFF8FAFC"/>
        <bgColor rgb="FFF8FAF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double">
        <color rgb="FF1B365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4" fillId="3" borderId="1" xfId="0" applyFont="1" applyFill="1" applyBorder="1"/>
    <xf numFmtId="164" fontId="5" fillId="0" borderId="1" xfId="0" applyNumberFormat="1" applyFont="1" applyBorder="1" applyAlignment="1">
      <alignment horizontal="right"/>
    </xf>
    <xf numFmtId="10" fontId="5" fillId="0" borderId="1" xfId="0" applyNumberFormat="1" applyFont="1" applyBorder="1" applyAlignment="1">
      <alignment horizontal="right"/>
    </xf>
    <xf numFmtId="1" fontId="5" fillId="0" borderId="1" xfId="0" applyNumberFormat="1" applyFont="1" applyBorder="1" applyAlignment="1">
      <alignment horizontal="right"/>
    </xf>
    <xf numFmtId="0" fontId="3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/>
    <xf numFmtId="0" fontId="5" fillId="5" borderId="1" xfId="0" applyFont="1" applyFill="1" applyBorder="1" applyAlignment="1">
      <alignment horizontal="center"/>
    </xf>
    <xf numFmtId="164" fontId="5" fillId="5" borderId="1" xfId="0" applyNumberFormat="1" applyFont="1" applyFill="1" applyBorder="1"/>
    <xf numFmtId="0" fontId="4" fillId="0" borderId="2" xfId="0" applyFont="1" applyBorder="1" applyAlignment="1">
      <alignment horizontal="center"/>
    </xf>
    <xf numFmtId="164" fontId="4" fillId="0" borderId="2" xfId="0" applyNumberFormat="1" applyFont="1" applyBorder="1"/>
    <xf numFmtId="0" fontId="3" fillId="4" borderId="1" xfId="0" applyFont="1" applyFill="1" applyBorder="1" applyAlignment="1">
      <alignment horizontal="center" vertical="center"/>
    </xf>
    <xf numFmtId="0" fontId="5" fillId="5" borderId="1" xfId="0" applyFont="1" applyFill="1" applyBorder="1"/>
    <xf numFmtId="10" fontId="5" fillId="5" borderId="1" xfId="0" applyNumberFormat="1" applyFont="1" applyFill="1" applyBorder="1" applyAlignment="1">
      <alignment horizontal="right"/>
    </xf>
    <xf numFmtId="0" fontId="5" fillId="0" borderId="1" xfId="0" applyFont="1" applyBorder="1"/>
    <xf numFmtId="0" fontId="3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36"/>
  <sheetViews>
    <sheetView tabSelected="1" workbookViewId="0"/>
  </sheetViews>
  <sheetFormatPr defaultRowHeight="15" x14ac:dyDescent="0.2"/>
  <cols>
    <col min="1" max="1" width="4.03515625" customWidth="1"/>
    <col min="2" max="2" width="29.99609375" customWidth="1"/>
    <col min="3" max="3" width="22.05859375" customWidth="1"/>
    <col min="4" max="4" width="25.01953125" customWidth="1"/>
    <col min="5" max="5" width="29.99609375" customWidth="1"/>
    <col min="6" max="6" width="25.01953125" customWidth="1"/>
  </cols>
  <sheetData>
    <row r="2" spans="2:6" ht="21" x14ac:dyDescent="0.3">
      <c r="B2" s="1" t="s">
        <v>0</v>
      </c>
    </row>
    <row r="3" spans="2:6" x14ac:dyDescent="0.2">
      <c r="B3" s="2" t="s">
        <v>1</v>
      </c>
    </row>
    <row r="5" spans="2:6" x14ac:dyDescent="0.2">
      <c r="B5" s="18" t="s">
        <v>2</v>
      </c>
      <c r="C5" s="19"/>
      <c r="D5" s="19"/>
    </row>
    <row r="6" spans="2:6" x14ac:dyDescent="0.2">
      <c r="B6" s="3" t="s">
        <v>3</v>
      </c>
      <c r="C6" s="4">
        <v>1000</v>
      </c>
    </row>
    <row r="7" spans="2:6" x14ac:dyDescent="0.2">
      <c r="B7" s="3" t="s">
        <v>4</v>
      </c>
      <c r="C7" s="4">
        <v>500</v>
      </c>
    </row>
    <row r="8" spans="2:6" x14ac:dyDescent="0.2">
      <c r="B8" s="3" t="s">
        <v>5</v>
      </c>
      <c r="C8" s="5">
        <v>8.0000000000000002E-3</v>
      </c>
    </row>
    <row r="9" spans="2:6" x14ac:dyDescent="0.2">
      <c r="B9" s="3" t="s">
        <v>6</v>
      </c>
      <c r="C9" s="6">
        <v>24</v>
      </c>
    </row>
    <row r="11" spans="2:6" x14ac:dyDescent="0.2">
      <c r="B11" s="7" t="s">
        <v>7</v>
      </c>
      <c r="C11" s="7" t="s">
        <v>8</v>
      </c>
      <c r="D11" s="7" t="s">
        <v>9</v>
      </c>
      <c r="E11" s="7" t="s">
        <v>10</v>
      </c>
      <c r="F11" s="7" t="s">
        <v>11</v>
      </c>
    </row>
    <row r="12" spans="2:6" x14ac:dyDescent="0.2">
      <c r="B12" s="8">
        <v>1</v>
      </c>
      <c r="C12" s="9">
        <f>C6+C7</f>
        <v>1500</v>
      </c>
      <c r="D12" s="9">
        <f>C12</f>
        <v>1500</v>
      </c>
      <c r="E12" s="9">
        <f>C12*$C$8</f>
        <v>12</v>
      </c>
      <c r="F12" s="9">
        <f>C12+E12</f>
        <v>1512</v>
      </c>
    </row>
    <row r="13" spans="2:6" x14ac:dyDescent="0.2">
      <c r="B13" s="10">
        <v>2</v>
      </c>
      <c r="C13" s="11">
        <f>C7</f>
        <v>500</v>
      </c>
      <c r="D13" s="11">
        <f>D12+C13</f>
        <v>2000</v>
      </c>
      <c r="E13" s="11">
        <f>(F12+C13)*$C$8</f>
        <v>16.096</v>
      </c>
      <c r="F13" s="11">
        <f>F12+C13+E13</f>
        <v>2028.096</v>
      </c>
    </row>
    <row r="14" spans="2:6" x14ac:dyDescent="0.2">
      <c r="B14" s="8">
        <v>3</v>
      </c>
      <c r="C14" s="9">
        <f>C7</f>
        <v>500</v>
      </c>
      <c r="D14" s="9">
        <f>D13+C14</f>
        <v>2500</v>
      </c>
      <c r="E14" s="9">
        <f>(F13+C14)*$C$8</f>
        <v>20.224768000000001</v>
      </c>
      <c r="F14" s="9">
        <f>F13+C14+E14</f>
        <v>2548.320768</v>
      </c>
    </row>
    <row r="15" spans="2:6" x14ac:dyDescent="0.2">
      <c r="B15" s="10">
        <v>4</v>
      </c>
      <c r="C15" s="11">
        <f>C7</f>
        <v>500</v>
      </c>
      <c r="D15" s="11">
        <f>D14+C15</f>
        <v>3000</v>
      </c>
      <c r="E15" s="11">
        <f>(F14+C15)*$C$8</f>
        <v>24.386566144</v>
      </c>
      <c r="F15" s="11">
        <f>F14+C15+E15</f>
        <v>3072.707334144</v>
      </c>
    </row>
    <row r="16" spans="2:6" x14ac:dyDescent="0.2">
      <c r="B16" s="8">
        <v>5</v>
      </c>
      <c r="C16" s="9">
        <f>C7</f>
        <v>500</v>
      </c>
      <c r="D16" s="9">
        <f>D15+C16</f>
        <v>3500</v>
      </c>
      <c r="E16" s="9">
        <f>(F15+C16)*$C$8</f>
        <v>28.581658673151999</v>
      </c>
      <c r="F16" s="9">
        <f>F15+C16+E16</f>
        <v>3601.2889928171521</v>
      </c>
    </row>
    <row r="17" spans="2:6" x14ac:dyDescent="0.2">
      <c r="B17" s="10">
        <v>6</v>
      </c>
      <c r="C17" s="11">
        <f>C7</f>
        <v>500</v>
      </c>
      <c r="D17" s="11">
        <f>D16+C17</f>
        <v>4000</v>
      </c>
      <c r="E17" s="11">
        <f>(F16+C17)*$C$8</f>
        <v>32.810311942537211</v>
      </c>
      <c r="F17" s="11">
        <f>F16+C17+E17</f>
        <v>4134.0993047596885</v>
      </c>
    </row>
    <row r="18" spans="2:6" x14ac:dyDescent="0.2">
      <c r="B18" s="8">
        <v>7</v>
      </c>
      <c r="C18" s="9">
        <f>C7</f>
        <v>500</v>
      </c>
      <c r="D18" s="9">
        <f>D17+C18</f>
        <v>4500</v>
      </c>
      <c r="E18" s="9">
        <f>(F17+C18)*$C$8</f>
        <v>37.072794438077509</v>
      </c>
      <c r="F18" s="9">
        <f>F17+C18+E18</f>
        <v>4671.1720991977663</v>
      </c>
    </row>
    <row r="19" spans="2:6" x14ac:dyDescent="0.2">
      <c r="B19" s="10">
        <v>8</v>
      </c>
      <c r="C19" s="11">
        <f>C7</f>
        <v>500</v>
      </c>
      <c r="D19" s="11">
        <f>D18+C19</f>
        <v>5000</v>
      </c>
      <c r="E19" s="11">
        <f>(F18+C19)*$C$8</f>
        <v>41.369376793582134</v>
      </c>
      <c r="F19" s="11">
        <f>F18+C19+E19</f>
        <v>5212.5414759913483</v>
      </c>
    </row>
    <row r="20" spans="2:6" x14ac:dyDescent="0.2">
      <c r="B20" s="8">
        <v>9</v>
      </c>
      <c r="C20" s="9">
        <f>C7</f>
        <v>500</v>
      </c>
      <c r="D20" s="9">
        <f>D19+C20</f>
        <v>5500</v>
      </c>
      <c r="E20" s="9">
        <f>(F19+C20)*$C$8</f>
        <v>45.700331807930787</v>
      </c>
      <c r="F20" s="9">
        <f>F19+C20+E20</f>
        <v>5758.2418077992788</v>
      </c>
    </row>
    <row r="21" spans="2:6" x14ac:dyDescent="0.2">
      <c r="B21" s="10">
        <v>10</v>
      </c>
      <c r="C21" s="11">
        <f>C7</f>
        <v>500</v>
      </c>
      <c r="D21" s="11">
        <f>D20+C21</f>
        <v>6000</v>
      </c>
      <c r="E21" s="11">
        <f>(F20+C21)*$C$8</f>
        <v>50.065934462394232</v>
      </c>
      <c r="F21" s="11">
        <f>F20+C21+E21</f>
        <v>6308.3077422616734</v>
      </c>
    </row>
    <row r="22" spans="2:6" x14ac:dyDescent="0.2">
      <c r="B22" s="8">
        <v>11</v>
      </c>
      <c r="C22" s="9">
        <f>C7</f>
        <v>500</v>
      </c>
      <c r="D22" s="9">
        <f>D21+C22</f>
        <v>6500</v>
      </c>
      <c r="E22" s="9">
        <f>(F21+C22)*$C$8</f>
        <v>54.466461938093389</v>
      </c>
      <c r="F22" s="9">
        <f>F21+C22+E22</f>
        <v>6862.7742041997672</v>
      </c>
    </row>
    <row r="23" spans="2:6" x14ac:dyDescent="0.2">
      <c r="B23" s="10">
        <v>12</v>
      </c>
      <c r="C23" s="11">
        <f>C7</f>
        <v>500</v>
      </c>
      <c r="D23" s="11">
        <f>D22+C23</f>
        <v>7000</v>
      </c>
      <c r="E23" s="11">
        <f>(F22+C23)*$C$8</f>
        <v>58.902193633598138</v>
      </c>
      <c r="F23" s="11">
        <f>F22+C23+E23</f>
        <v>7421.6763978333656</v>
      </c>
    </row>
    <row r="24" spans="2:6" x14ac:dyDescent="0.2">
      <c r="B24" s="8">
        <v>13</v>
      </c>
      <c r="C24" s="9">
        <f>C7</f>
        <v>500</v>
      </c>
      <c r="D24" s="9">
        <f>D23+C24</f>
        <v>7500</v>
      </c>
      <c r="E24" s="9">
        <f>(F23+C24)*$C$8</f>
        <v>63.373411182666928</v>
      </c>
      <c r="F24" s="9">
        <f>F23+C24+E24</f>
        <v>7985.0498090160327</v>
      </c>
    </row>
    <row r="25" spans="2:6" x14ac:dyDescent="0.2">
      <c r="B25" s="10">
        <v>14</v>
      </c>
      <c r="C25" s="11">
        <f>C7</f>
        <v>500</v>
      </c>
      <c r="D25" s="11">
        <f>D24+C25</f>
        <v>8000</v>
      </c>
      <c r="E25" s="11">
        <f>(F24+C25)*$C$8</f>
        <v>67.880398472128263</v>
      </c>
      <c r="F25" s="11">
        <f>F24+C25+E25</f>
        <v>8552.9302074881616</v>
      </c>
    </row>
    <row r="26" spans="2:6" x14ac:dyDescent="0.2">
      <c r="B26" s="8">
        <v>15</v>
      </c>
      <c r="C26" s="9">
        <f>C7</f>
        <v>500</v>
      </c>
      <c r="D26" s="9">
        <f>D25+C26</f>
        <v>8500</v>
      </c>
      <c r="E26" s="9">
        <f>(F25+C26)*$C$8</f>
        <v>72.423441659905293</v>
      </c>
      <c r="F26" s="9">
        <f>F25+C26+E26</f>
        <v>9125.3536491480663</v>
      </c>
    </row>
    <row r="27" spans="2:6" x14ac:dyDescent="0.2">
      <c r="B27" s="10">
        <v>16</v>
      </c>
      <c r="C27" s="11">
        <f>C7</f>
        <v>500</v>
      </c>
      <c r="D27" s="11">
        <f>D26+C27</f>
        <v>9000</v>
      </c>
      <c r="E27" s="11">
        <f>(F26+C27)*$C$8</f>
        <v>77.002829193184539</v>
      </c>
      <c r="F27" s="11">
        <f>F26+C27+E27</f>
        <v>9702.3564783412512</v>
      </c>
    </row>
    <row r="28" spans="2:6" x14ac:dyDescent="0.2">
      <c r="B28" s="8">
        <v>17</v>
      </c>
      <c r="C28" s="9">
        <f>C7</f>
        <v>500</v>
      </c>
      <c r="D28" s="9">
        <f>D27+C28</f>
        <v>9500</v>
      </c>
      <c r="E28" s="9">
        <f>(F27+C28)*$C$8</f>
        <v>81.618851826730008</v>
      </c>
      <c r="F28" s="9">
        <f>F27+C28+E28</f>
        <v>10283.975330167981</v>
      </c>
    </row>
    <row r="29" spans="2:6" x14ac:dyDescent="0.2">
      <c r="B29" s="10">
        <v>18</v>
      </c>
      <c r="C29" s="11">
        <f>C7</f>
        <v>500</v>
      </c>
      <c r="D29" s="11">
        <f>D28+C29</f>
        <v>10000</v>
      </c>
      <c r="E29" s="11">
        <f>(F28+C29)*$C$8</f>
        <v>86.271802641343854</v>
      </c>
      <c r="F29" s="11">
        <f>F28+C29+E29</f>
        <v>10870.247132809325</v>
      </c>
    </row>
    <row r="30" spans="2:6" x14ac:dyDescent="0.2">
      <c r="B30" s="8">
        <v>19</v>
      </c>
      <c r="C30" s="9">
        <f>C7</f>
        <v>500</v>
      </c>
      <c r="D30" s="9">
        <f>D29+C30</f>
        <v>10500</v>
      </c>
      <c r="E30" s="9">
        <f>(F29+C30)*$C$8</f>
        <v>90.961977062474602</v>
      </c>
      <c r="F30" s="9">
        <f>F29+C30+E30</f>
        <v>11461.209109871799</v>
      </c>
    </row>
    <row r="31" spans="2:6" x14ac:dyDescent="0.2">
      <c r="B31" s="10">
        <v>20</v>
      </c>
      <c r="C31" s="11">
        <f>C7</f>
        <v>500</v>
      </c>
      <c r="D31" s="11">
        <f>D30+C31</f>
        <v>11000</v>
      </c>
      <c r="E31" s="11">
        <f>(F30+C31)*$C$8</f>
        <v>95.689672878974392</v>
      </c>
      <c r="F31" s="11">
        <f>F30+C31+E31</f>
        <v>12056.898782750774</v>
      </c>
    </row>
    <row r="32" spans="2:6" x14ac:dyDescent="0.2">
      <c r="B32" s="8">
        <v>21</v>
      </c>
      <c r="C32" s="9">
        <f>C7</f>
        <v>500</v>
      </c>
      <c r="D32" s="9">
        <f>D31+C32</f>
        <v>11500</v>
      </c>
      <c r="E32" s="9">
        <f>(F31+C32)*$C$8</f>
        <v>100.45519026200618</v>
      </c>
      <c r="F32" s="9">
        <f>F31+C32+E32</f>
        <v>12657.35397301278</v>
      </c>
    </row>
    <row r="33" spans="2:6" x14ac:dyDescent="0.2">
      <c r="B33" s="10">
        <v>22</v>
      </c>
      <c r="C33" s="11">
        <f>C7</f>
        <v>500</v>
      </c>
      <c r="D33" s="11">
        <f>D32+C33</f>
        <v>12000</v>
      </c>
      <c r="E33" s="11">
        <f>(F32+C33)*$C$8</f>
        <v>105.25883178410224</v>
      </c>
      <c r="F33" s="11">
        <f>F32+C33+E33</f>
        <v>13262.612804796881</v>
      </c>
    </row>
    <row r="34" spans="2:6" x14ac:dyDescent="0.2">
      <c r="B34" s="8">
        <v>23</v>
      </c>
      <c r="C34" s="9">
        <f>C7</f>
        <v>500</v>
      </c>
      <c r="D34" s="9">
        <f>D33+C34</f>
        <v>12500</v>
      </c>
      <c r="E34" s="9">
        <f>(F33+C34)*$C$8</f>
        <v>110.10090243837506</v>
      </c>
      <c r="F34" s="9">
        <f>F33+C34+E34</f>
        <v>13872.713707235256</v>
      </c>
    </row>
    <row r="35" spans="2:6" x14ac:dyDescent="0.2">
      <c r="B35" s="10">
        <v>24</v>
      </c>
      <c r="C35" s="11">
        <f>C7</f>
        <v>500</v>
      </c>
      <c r="D35" s="11">
        <f>D34+C35</f>
        <v>13000</v>
      </c>
      <c r="E35" s="11">
        <f>(F34+C35)*$C$8</f>
        <v>114.98170965788205</v>
      </c>
      <c r="F35" s="11">
        <f>F34+C35+E35</f>
        <v>14487.695416893139</v>
      </c>
    </row>
    <row r="36" spans="2:6" x14ac:dyDescent="0.2">
      <c r="B36" s="12" t="s">
        <v>12</v>
      </c>
      <c r="C36" s="13">
        <f>SUM(C12:C35)</f>
        <v>13000</v>
      </c>
      <c r="D36" s="13">
        <f>D35</f>
        <v>13000</v>
      </c>
      <c r="E36" s="13">
        <f>SUM(E12:E35)</f>
        <v>1487.6954168931388</v>
      </c>
      <c r="F36" s="13">
        <f>F35</f>
        <v>14487.695416893139</v>
      </c>
    </row>
  </sheetData>
  <mergeCells count="1">
    <mergeCell ref="B5:D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10"/>
  <sheetViews>
    <sheetView workbookViewId="0"/>
  </sheetViews>
  <sheetFormatPr defaultRowHeight="15" x14ac:dyDescent="0.2"/>
  <cols>
    <col min="1" max="1" width="4.03515625" customWidth="1"/>
    <col min="2" max="2" width="27.98046875" customWidth="1"/>
    <col min="3" max="3" width="45.0625" customWidth="1"/>
    <col min="4" max="4" width="20.04296875" customWidth="1"/>
    <col min="5" max="6" width="18.0234375" customWidth="1"/>
  </cols>
  <sheetData>
    <row r="2" spans="2:6" ht="21" x14ac:dyDescent="0.3">
      <c r="B2" s="1" t="s">
        <v>13</v>
      </c>
    </row>
    <row r="3" spans="2:6" x14ac:dyDescent="0.2">
      <c r="B3" s="2" t="s">
        <v>14</v>
      </c>
    </row>
    <row r="5" spans="2:6" x14ac:dyDescent="0.2">
      <c r="B5" s="14" t="s">
        <v>15</v>
      </c>
      <c r="C5" s="14" t="s">
        <v>16</v>
      </c>
      <c r="D5" s="14" t="s">
        <v>17</v>
      </c>
      <c r="E5" s="14" t="s">
        <v>18</v>
      </c>
      <c r="F5" s="14" t="s">
        <v>19</v>
      </c>
    </row>
    <row r="6" spans="2:6" x14ac:dyDescent="0.2">
      <c r="B6" s="15" t="s">
        <v>20</v>
      </c>
      <c r="C6" s="15" t="s">
        <v>21</v>
      </c>
      <c r="D6" s="15" t="s">
        <v>22</v>
      </c>
      <c r="E6" s="10" t="s">
        <v>23</v>
      </c>
      <c r="F6" s="16">
        <v>7.4999999999999997E-3</v>
      </c>
    </row>
    <row r="7" spans="2:6" x14ac:dyDescent="0.2">
      <c r="B7" s="17" t="s">
        <v>24</v>
      </c>
      <c r="C7" s="17" t="s">
        <v>25</v>
      </c>
      <c r="D7" s="17" t="s">
        <v>26</v>
      </c>
      <c r="E7" s="8" t="s">
        <v>27</v>
      </c>
      <c r="F7" s="5">
        <v>8.0000000000000002E-3</v>
      </c>
    </row>
    <row r="8" spans="2:6" x14ac:dyDescent="0.2">
      <c r="B8" s="15" t="s">
        <v>28</v>
      </c>
      <c r="C8" s="15" t="s">
        <v>29</v>
      </c>
      <c r="D8" s="15" t="s">
        <v>30</v>
      </c>
      <c r="E8" s="10" t="s">
        <v>31</v>
      </c>
      <c r="F8" s="16">
        <v>9.4999999999999998E-3</v>
      </c>
    </row>
    <row r="9" spans="2:6" x14ac:dyDescent="0.2">
      <c r="B9" s="17" t="s">
        <v>32</v>
      </c>
      <c r="C9" s="17" t="s">
        <v>33</v>
      </c>
      <c r="D9" s="17" t="s">
        <v>34</v>
      </c>
      <c r="E9" s="8" t="s">
        <v>27</v>
      </c>
      <c r="F9" s="5">
        <v>7.0000000000000001E-3</v>
      </c>
    </row>
    <row r="10" spans="2:6" x14ac:dyDescent="0.2">
      <c r="B10" s="15" t="s">
        <v>35</v>
      </c>
      <c r="C10" s="15" t="s">
        <v>36</v>
      </c>
      <c r="D10" s="15" t="s">
        <v>37</v>
      </c>
      <c r="E10" s="10" t="s">
        <v>38</v>
      </c>
      <c r="F10" s="16">
        <v>8.5000000000000006E-3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Simulador de Investimentos</vt:lpstr>
      <vt:lpstr>Tipos de FIIs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2026-09-02T15:45:31Z</dcterms:created>
  <dcterms:modified xsi:type="dcterms:W3CDTF">2026-09-02T15:45:31Z</dcterms:modified>
</cp:coreProperties>
</file>